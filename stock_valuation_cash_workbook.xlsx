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ee5a4603c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d0ffbce18a43b1"/>
    <x:sheet xmlns:r="http://schemas.openxmlformats.org/officeDocument/2006/relationships" name="Stock Detail" sheetId="2" r:id="R75d04646b5a6494f"/>
    <x:sheet xmlns:r="http://schemas.openxmlformats.org/officeDocument/2006/relationships" name="Payments &amp; Cash" sheetId="3" r:id="R27b4f87a43844e8b"/>
    <x:sheet xmlns:r="http://schemas.openxmlformats.org/officeDocument/2006/relationships" name="Review Notes" sheetId="4" r:id="Rba7cc8e8cfef4385"/>
    <x:sheet xmlns:r="http://schemas.openxmlformats.org/officeDocument/2006/relationships" name="Source Images" sheetId="5" r:id="R937442b56213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b/>
      <x:sz val="11"/>
      <x:color rgb="FF7F1D1D"/>
      <x:name val="Carlito"/>
    </x:font>
    <x:font>
      <x:b/>
      <x:sz val="16"/>
      <x:color rgb="FF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4E78"/>
      </x:patternFill>
    </x:fill>
    <x:fill>
      <x:patternFill patternType="solid">
        <x:fgColor rgb="FFFEF3C7"/>
      </x:patternFill>
    </x:fill>
    <x:fill>
      <x:patternFill patternType="solid">
        <x:fgColor rgb="FFD9EAF7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201" fontId="5" fillId="5" borderId="0" xfId="0" applyNumberFormat="1" applyFont="1" applyFill="1" applyBorder="1" applyAlignment="1">
      <x:alignment horizontal="left" vertical="center"/>
    </x:xf>
    <x:xf numFmtId="201" fontId="5" fillId="5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center" wrapText="0"/>
    </x:xf>
    <x:xf numFmtId="0" fontId="1" fillId="7" borderId="1" xfId="0" applyNumberFormat="1" applyFont="1" applyFill="1" applyBorder="1" applyAlignment="1">
      <x:alignment horizontal="left" vertical="center"/>
    </x:xf>
    <x:xf numFmtId="0" fontId="7" fillId="7" borderId="1" xfId="0" applyNumberFormat="1" applyFont="1" applyFill="1" applyBorder="1" applyAlignment="1">
      <x:alignment horizontal="left" vertical="center"/>
    </x:xf>
    <x:xf numFmtId="0" fontId="7" fillId="7" borderId="1" xfId="0" applyNumberFormat="1" applyFont="1" applyFill="1" applyBorder="1" applyAlignment="1">
      <x:alignment horizontal="left" vertical="center" wrapText="0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left" wrapText="1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left" wrapText="1"/>
    </x:xf>
    <x:xf numFmtId="0" fontId="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2ce06e2f14f9d" /><Relationship Type="http://schemas.openxmlformats.org/officeDocument/2006/relationships/theme" Target="/xl/theme/theme1.xml" Id="R84ed2cfd72064cb1" /><Relationship Type="http://schemas.openxmlformats.org/officeDocument/2006/relationships/sharedStrings" Target="/xl/sharedStrings.xml" Id="Re77dda3d04b64106" /><Relationship Type="http://schemas.openxmlformats.org/officeDocument/2006/relationships/worksheet" Target="/xl/worksheets/sheet1.xml" Id="R07d0ffbce18a43b1" /><Relationship Type="http://schemas.openxmlformats.org/officeDocument/2006/relationships/worksheet" Target="/xl/worksheets/sheet2.xml" Id="R75d04646b5a6494f" /><Relationship Type="http://schemas.openxmlformats.org/officeDocument/2006/relationships/worksheet" Target="/xl/worksheets/sheet3.xml" Id="R27b4f87a43844e8b" /><Relationship Type="http://schemas.openxmlformats.org/officeDocument/2006/relationships/worksheet" Target="/xl/worksheets/sheet4.xml" Id="Rba7cc8e8cfef4385" /><Relationship Type="http://schemas.openxmlformats.org/officeDocument/2006/relationships/worksheet" Target="/xl/worksheets/sheet5.xml" Id="R937442b562134a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249b90bb2241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Stock Valuation by Section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Qty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Valuation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'Dashboard'!$F$5:$F$7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249b90bb2241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ockTable" displayName="StockTable" ref="A4:J65" headerRowCount="1">
  <x:tableColumns count="10">
    <x:tableColumn id="1" name="Section"/>
    <x:tableColumn id="2" name="Category"/>
    <x:tableColumn id="3" name="Form / Type"/>
    <x:tableColumn id="4" name="Capacity / Item"/>
    <x:tableColumn id="5" name="Variant / Condition"/>
    <x:tableColumn id="6" name="Qty"/>
    <x:tableColumn id="7" name="Unit Rate"/>
    <x:tableColumn id="8" name="Amount"/>
    <x:tableColumn id="9" name="Source"/>
    <x:tableColumn id="10" name="Scan Notes"/>
  </x:tableColumns>
  <x:tableStyleInfo name="TableStyleMedium2" showRowStripes="1"/>
</x:table>
</file>

<file path=xl/tables/table2.xml><?xml version="1.0" encoding="utf-8"?>
<x:table xmlns:x="http://schemas.openxmlformats.org/spreadsheetml/2006/main" id="2" name="PaymentsTable" displayName="PaymentsTable" ref="A7:E19" headerRowCount="1">
  <x:tableColumns count="5">
    <x:tableColumn id="1" name="Type"/>
    <x:tableColumn id="2" name="Name / Reference"/>
    <x:tableColumn id="3" name="Amount"/>
    <x:tableColumn id="4" name="Source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813d575b7442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29f520c27049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4c317c8d5c490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28" customHeight="1">
      <x:c r="A1" s="58" t="str">
        <x:v>Stock Valuation &amp; Cash Dashboard</x:v>
      </x:c>
      <x:c r="B1" s="58"/>
      <x:c r="C1" s="58"/>
      <x:c r="D1" s="58"/>
      <x:c r="E1" s="58"/>
      <x:c r="F1" s="58"/>
      <x:c r="G1" s="58"/>
      <x:c r="H1" s="58"/>
    </x:row>
    <x:row r="2" ht="32" customHeight="1">
      <x:c r="A2" s="64" t="str">
        <x:v>All main numbers below are driven by formulas from the Stock Detail and Payments &amp; Cash sheets.</x:v>
      </x:c>
      <x:c r="B2" s="64" t="str"/>
      <x:c r="C2" s="64" t="str"/>
      <x:c r="D2" s="64" t="str"/>
      <x:c r="E2" s="64" t="str"/>
      <x:c r="F2" s="64" t="str"/>
      <x:c r="G2" s="64" t="str"/>
      <x:c r="H2" s="64" t="str"/>
    </x:row>
    <x:row r="4">
      <x:c r="A4" s="18" t="str">
        <x:v>Key Metric</x:v>
      </x:c>
      <x:c r="B4" s="18" t="str">
        <x:v>Value</x:v>
      </x:c>
      <x:c r="D4" s="18" t="str">
        <x:v>Section</x:v>
      </x:c>
      <x:c r="E4" s="18" t="str">
        <x:v>Qty</x:v>
      </x:c>
      <x:c r="F4" s="18" t="str">
        <x:v>Valuation</x:v>
      </x:c>
    </x:row>
    <x:row r="5">
      <x:c r="A5" s="48" t="str">
        <x:v>Total Stock Valuation</x:v>
      </x:c>
      <x:c r="B5" s="30" t="n">
        <x:f>SUM('Stock Detail'!H5:H65)</x:f>
        <x:v>290342</x:v>
      </x:c>
      <x:c r="D5" t="str">
        <x:v>RAM</x:v>
      </x:c>
      <x:c r="E5" s="28" t="n">
        <x:f>SUMIF('Stock Detail'!$A$5:$A$65,D5,'Stock Detail'!$F$5:$F$65)</x:f>
        <x:v>1063</x:v>
      </x:c>
      <x:c r="F5" s="30" t="n">
        <x:f>SUMIF('Stock Detail'!$A$5:$A$65,D5,'Stock Detail'!$H$5:$H$65)</x:f>
        <x:v>44934</x:v>
      </x:c>
    </x:row>
    <x:row r="6">
      <x:c r="A6" s="48" t="str">
        <x:v>Total Stock Quantity</x:v>
      </x:c>
      <x:c r="B6" s="28" t="n">
        <x:f>SUM('Stock Detail'!F5:F65)</x:f>
        <x:v>4506</x:v>
      </x:c>
      <x:c r="D6" t="str">
        <x:v>HDD</x:v>
      </x:c>
      <x:c r="E6" s="28" t="n">
        <x:f>SUMIF('Stock Detail'!$A$5:$A$65,D6,'Stock Detail'!$F$5:$F$65)</x:f>
        <x:v>2519</x:v>
      </x:c>
      <x:c r="F6" s="30" t="n">
        <x:f>SUMIF('Stock Detail'!$A$5:$A$65,D6,'Stock Detail'!$H$5:$H$65)</x:f>
        <x:v>177941</x:v>
      </x:c>
    </x:row>
    <x:row r="7">
      <x:c r="A7" s="48" t="str">
        <x:v>Cash in Hand</x:v>
      </x:c>
      <x:c r="B7" s="30" t="n">
        <x:f>'Payments &amp; Cash'!B4</x:f>
        <x:v>25500</x:v>
      </x:c>
      <x:c r="D7" t="str">
        <x:v>SSD</x:v>
      </x:c>
      <x:c r="E7" s="28" t="n">
        <x:f>SUMIF('Stock Detail'!$A$5:$A$65,D7,'Stock Detail'!$F$5:$F$65)</x:f>
        <x:v>924</x:v>
      </x:c>
      <x:c r="F7" s="30" t="n">
        <x:f>SUMIF('Stock Detail'!$A$5:$A$65,D7,'Stock Detail'!$H$5:$H$65)</x:f>
        <x:v>67467</x:v>
      </x:c>
    </x:row>
    <x:row r="8">
      <x:c r="A8" s="48" t="str">
        <x:v>Incoming Payments</x:v>
      </x:c>
      <x:c r="B8" s="30" t="n">
        <x:f>'Payments &amp; Cash'!H6</x:f>
        <x:v>20762</x:v>
      </x:c>
    </x:row>
    <x:row r="9">
      <x:c r="A9" s="48" t="str">
        <x:v>Outgoing Payments</x:v>
      </x:c>
      <x:c r="B9" s="30" t="n">
        <x:f>'Payments &amp; Cash'!H7</x:f>
        <x:v>33377</x:v>
      </x:c>
    </x:row>
    <x:row r="10">
      <x:c r="A10" s="48" t="str">
        <x:v>Net Cash Position</x:v>
      </x:c>
      <x:c r="B10" s="30" t="n">
        <x:f>'Payments &amp; Cash'!H8</x:f>
        <x:v>12885</x:v>
      </x:c>
      <x:c r="D10" s="18" t="str">
        <x:v>Category</x:v>
      </x:c>
      <x:c r="E10" s="18" t="str">
        <x:v>Qty</x:v>
      </x:c>
      <x:c r="F10" s="18" t="str">
        <x:v>Valuation</x:v>
      </x:c>
    </x:row>
    <x:row r="11">
      <x:c r="A11" s="48" t="str">
        <x:v>Stock + Net Cash Position</x:v>
      </x:c>
      <x:c r="B11" s="30" t="n">
        <x:f>B5+B10</x:f>
        <x:v>303227</x:v>
      </x:c>
      <x:c r="D11" t="str">
        <x:v>RAM</x:v>
      </x:c>
      <x:c r="E11" s="28" t="n">
        <x:f>SUMIF('Stock Detail'!$B$5:$B$65,D11,'Stock Detail'!$F$5:$F$65)</x:f>
        <x:v>1063</x:v>
      </x:c>
      <x:c r="F11" s="30" t="n">
        <x:f>SUMIF('Stock Detail'!$B$5:$B$65,D11,'Stock Detail'!$H$5:$H$65)</x:f>
        <x:v>44934</x:v>
      </x:c>
    </x:row>
    <x:row r="12">
      <x:c r="D12" t="str">
        <x:v>HDD</x:v>
      </x:c>
      <x:c r="E12" s="28" t="n">
        <x:f>SUMIF('Stock Detail'!$B$5:$B$65,D12,'Stock Detail'!$F$5:$F$65)</x:f>
        <x:v>2519</x:v>
      </x:c>
      <x:c r="F12" s="30" t="n">
        <x:f>SUMIF('Stock Detail'!$B$5:$B$65,D12,'Stock Detail'!$H$5:$H$65)</x:f>
        <x:v>177941</x:v>
      </x:c>
    </x:row>
    <x:row r="13">
      <x:c r="D13" t="str">
        <x:v>M.2 SSD</x:v>
      </x:c>
      <x:c r="E13" s="28" t="n">
        <x:f>SUMIF('Stock Detail'!$B$5:$B$65,D13,'Stock Detail'!$F$5:$F$65)</x:f>
        <x:v>288</x:v>
      </x:c>
      <x:c r="F13" s="30" t="n">
        <x:f>SUMIF('Stock Detail'!$B$5:$B$65,D13,'Stock Detail'!$H$5:$H$65)</x:f>
        <x:v>24000</x:v>
      </x:c>
    </x:row>
    <x:row r="14">
      <x:c r="A14" s="52" t="str">
        <x:v>Manual Review Flags</x:v>
      </x:c>
      <x:c r="B14" s="52" t="str">
        <x:v>See Review Notes sheet</x:v>
      </x:c>
      <x:c r="D14" t="str">
        <x:v>SATA SSD</x:v>
      </x:c>
      <x:c r="E14" s="28" t="n">
        <x:f>SUMIF('Stock Detail'!$B$5:$B$65,D14,'Stock Detail'!$F$5:$F$65)</x:f>
        <x:v>636</x:v>
      </x:c>
      <x:c r="F14" s="30" t="n">
        <x:f>SUMIF('Stock Detail'!$B$5:$B$65,D14,'Stock Detail'!$H$5:$H$65)</x:f>
        <x:v>43467</x:v>
      </x:c>
    </x:row>
  </x:sheetData>
  <x:pageMargins left="0.7" right="0.7" top="0.75" bottom="0.75" header="0.3" footer="0.3"/>
  <x:drawing xmlns:r="http://schemas.openxmlformats.org/officeDocument/2006/relationships" r:id="R46813d575b7442c9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16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22" hidden="0" customWidth="1"/>
    <x:col min="10" max="10" width="42" hidden="0" customWidth="1"/>
  </x:cols>
  <x:sheetData>
    <x:row r="1" ht="28" customHeight="1">
      <x:c r="A1" s="58" t="str">
        <x:v>Stock Valuation Detail</x:v>
      </x:c>
      <x:c r="B1" s="58"/>
      <x:c r="C1" s="58"/>
      <x:c r="D1" s="58"/>
      <x:c r="E1" s="58"/>
      <x:c r="F1" s="58"/>
      <x:c r="G1" s="58"/>
      <x:c r="H1" s="58"/>
      <x:c r="I1" s="58"/>
      <x:c r="J1" s="58"/>
    </x:row>
    <x:row r="2" ht="32" customHeight="1">
      <x:c r="A2" s="64" t="str">
        <x:v>Transcribed from the handwritten stock valuation images. Amounts are formulas: Qty × Unit Rate. Rows with unclear handwriting are flagged in Scan Notes.</x:v>
      </x:c>
      <x:c r="B2" s="64" t="str"/>
      <x:c r="C2" s="64" t="str"/>
      <x:c r="D2" s="64" t="str"/>
      <x:c r="E2" s="64" t="str"/>
      <x:c r="F2" s="64" t="str"/>
      <x:c r="G2" s="64" t="str"/>
      <x:c r="H2" s="64" t="str"/>
      <x:c r="I2" s="64" t="str"/>
      <x:c r="J2" s="64" t="str"/>
    </x:row>
    <x:row r="4">
      <x:c r="A4" s="18" t="str">
        <x:v>Section</x:v>
      </x:c>
      <x:c r="B4" s="18" t="str">
        <x:v>Category</x:v>
      </x:c>
      <x:c r="C4" s="18" t="str">
        <x:v>Form / Type</x:v>
      </x:c>
      <x:c r="D4" s="18" t="str">
        <x:v>Capacity / Item</x:v>
      </x:c>
      <x:c r="E4" s="18" t="str">
        <x:v>Variant / Condition</x:v>
      </x:c>
      <x:c r="F4" s="18" t="str">
        <x:v>Qty</x:v>
      </x:c>
      <x:c r="G4" s="18" t="str">
        <x:v>Unit Rate</x:v>
      </x:c>
      <x:c r="H4" s="18" t="str">
        <x:v>Amount</x:v>
      </x:c>
      <x:c r="I4" s="18" t="str">
        <x:v>Source</x:v>
      </x:c>
      <x:c r="J4" s="18" t="str">
        <x:v>Scan Notes</x:v>
      </x:c>
    </x:row>
    <x:row r="5">
      <x:c r="A5" s="32" t="str">
        <x:v>RAM</x:v>
      </x:c>
      <x:c r="B5" s="32" t="str">
        <x:v>RAM</x:v>
      </x:c>
      <x:c r="C5" s="32" t="str">
        <x:v>Desktop</x:v>
      </x:c>
      <x:c r="D5" s="32" t="str">
        <x:v>4GB PC3</x:v>
      </x:c>
      <x:c r="E5" s="32" t="str"/>
      <x:c r="F5" s="33" t="n">
        <x:v>122</x:v>
      </x:c>
      <x:c r="G5" s="34" t="n">
        <x:v>11</x:v>
      </x:c>
      <x:c r="H5" s="34" t="n">
        <x:f>F5*G5</x:f>
        <x:v>1342</x:v>
      </x:c>
      <x:c r="I5" s="32" t="str">
        <x:v>Image 1 - RAM</x:v>
      </x:c>
      <x:c r="J5" s="32" t="str"/>
    </x:row>
    <x:row r="6">
      <x:c r="A6" s="32" t="str">
        <x:v>RAM</x:v>
      </x:c>
      <x:c r="B6" s="32" t="str">
        <x:v>RAM</x:v>
      </x:c>
      <x:c r="C6" s="32" t="str">
        <x:v>Desktop</x:v>
      </x:c>
      <x:c r="D6" s="32" t="str">
        <x:v>2GB PC3</x:v>
      </x:c>
      <x:c r="E6" s="32" t="str"/>
      <x:c r="F6" s="33" t="n">
        <x:v>67</x:v>
      </x:c>
      <x:c r="G6" s="34" t="n">
        <x:v>3</x:v>
      </x:c>
      <x:c r="H6" s="34" t="n">
        <x:f>F6*G6</x:f>
        <x:v>201</x:v>
      </x:c>
      <x:c r="I6" s="32" t="str">
        <x:v>Image 1 - RAM</x:v>
      </x:c>
      <x:c r="J6" s="32" t="str"/>
    </x:row>
    <x:row r="7">
      <x:c r="A7" s="32" t="str">
        <x:v>RAM</x:v>
      </x:c>
      <x:c r="B7" s="32" t="str">
        <x:v>RAM</x:v>
      </x:c>
      <x:c r="C7" s="32" t="str">
        <x:v>Desktop</x:v>
      </x:c>
      <x:c r="D7" s="32" t="str">
        <x:v>8GB PC3</x:v>
      </x:c>
      <x:c r="E7" s="32" t="str"/>
      <x:c r="F7" s="33" t="n">
        <x:v>35</x:v>
      </x:c>
      <x:c r="G7" s="34" t="n">
        <x:v>28</x:v>
      </x:c>
      <x:c r="H7" s="34" t="n">
        <x:f>F7*G7</x:f>
        <x:v>980</x:v>
      </x:c>
      <x:c r="I7" s="32" t="str">
        <x:v>Image 1 - RAM</x:v>
      </x:c>
      <x:c r="J7" s="32" t="str"/>
    </x:row>
    <x:row r="8">
      <x:c r="A8" s="32" t="str">
        <x:v>RAM</x:v>
      </x:c>
      <x:c r="B8" s="32" t="str">
        <x:v>RAM</x:v>
      </x:c>
      <x:c r="C8" s="32" t="str">
        <x:v>Desktop</x:v>
      </x:c>
      <x:c r="D8" s="32" t="str">
        <x:v>4GB PC4</x:v>
      </x:c>
      <x:c r="E8" s="32" t="str"/>
      <x:c r="F8" s="33" t="n">
        <x:v>39</x:v>
      </x:c>
      <x:c r="G8" s="34" t="n">
        <x:v>40</x:v>
      </x:c>
      <x:c r="H8" s="34" t="n">
        <x:f>F8*G8</x:f>
        <x:v>1560</x:v>
      </x:c>
      <x:c r="I8" s="32" t="str">
        <x:v>Image 1 - RAM</x:v>
      </x:c>
      <x:c r="J8" s="32" t="str"/>
    </x:row>
    <x:row r="9">
      <x:c r="A9" s="32" t="str">
        <x:v>RAM</x:v>
      </x:c>
      <x:c r="B9" s="32" t="str">
        <x:v>RAM</x:v>
      </x:c>
      <x:c r="C9" s="32" t="str">
        <x:v>Desktop</x:v>
      </x:c>
      <x:c r="D9" s="32" t="str">
        <x:v>8GB PC4</x:v>
      </x:c>
      <x:c r="E9" s="32" t="str"/>
      <x:c r="F9" s="33" t="n">
        <x:v>15</x:v>
      </x:c>
      <x:c r="G9" s="34" t="n">
        <x:v>80</x:v>
      </x:c>
      <x:c r="H9" s="34" t="n">
        <x:f>F9*G9</x:f>
        <x:v>1200</x:v>
      </x:c>
      <x:c r="I9" s="32" t="str">
        <x:v>Image 1 - RAM</x:v>
      </x:c>
      <x:c r="J9" s="32" t="str"/>
    </x:row>
    <x:row r="10">
      <x:c r="A10" s="32" t="str">
        <x:v>RAM</x:v>
      </x:c>
      <x:c r="B10" s="32" t="str">
        <x:v>RAM</x:v>
      </x:c>
      <x:c r="C10" s="32" t="str">
        <x:v>Desktop</x:v>
      </x:c>
      <x:c r="D10" s="32" t="str">
        <x:v>16GB PC4</x:v>
      </x:c>
      <x:c r="E10" s="32" t="str"/>
      <x:c r="F10" s="33" t="n">
        <x:v>7</x:v>
      </x:c>
      <x:c r="G10" s="34" t="n">
        <x:v>150</x:v>
      </x:c>
      <x:c r="H10" s="34" t="n">
        <x:f>F10*G10</x:f>
        <x:v>1050</x:v>
      </x:c>
      <x:c r="I10" s="32" t="str">
        <x:v>Image 1 - RAM</x:v>
      </x:c>
      <x:c r="J10" s="32" t="str"/>
    </x:row>
    <x:row r="11">
      <x:c r="A11" s="32" t="str">
        <x:v>RAM</x:v>
      </x:c>
      <x:c r="B11" s="32" t="str">
        <x:v>RAM</x:v>
      </x:c>
      <x:c r="C11" s="32" t="str">
        <x:v>Laptop</x:v>
      </x:c>
      <x:c r="D11" s="32" t="str">
        <x:v>4GB PC3</x:v>
      </x:c>
      <x:c r="E11" s="32" t="str"/>
      <x:c r="F11" s="33" t="n">
        <x:v>63</x:v>
      </x:c>
      <x:c r="G11" s="34" t="n">
        <x:v>9</x:v>
      </x:c>
      <x:c r="H11" s="34" t="n">
        <x:f>F11*G11</x:f>
        <x:v>567</x:v>
      </x:c>
      <x:c r="I11" s="32" t="str">
        <x:v>Image 1 - RAM</x:v>
      </x:c>
      <x:c r="J11" s="32" t="str"/>
    </x:row>
    <x:row r="12">
      <x:c r="A12" s="32" t="str">
        <x:v>RAM</x:v>
      </x:c>
      <x:c r="B12" s="32" t="str">
        <x:v>RAM</x:v>
      </x:c>
      <x:c r="C12" s="32" t="str">
        <x:v>Laptop</x:v>
      </x:c>
      <x:c r="D12" s="32" t="str">
        <x:v>4GB PC3L</x:v>
      </x:c>
      <x:c r="E12" s="32" t="str"/>
      <x:c r="F12" s="33" t="n">
        <x:v>153</x:v>
      </x:c>
      <x:c r="G12" s="34" t="n">
        <x:v>10</x:v>
      </x:c>
      <x:c r="H12" s="34" t="n">
        <x:f>F12*G12</x:f>
        <x:v>1530</x:v>
      </x:c>
      <x:c r="I12" s="32" t="str">
        <x:v>Image 1 - RAM</x:v>
      </x:c>
      <x:c r="J12" s="32" t="str"/>
    </x:row>
    <x:row r="13">
      <x:c r="A13" s="32" t="str">
        <x:v>RAM</x:v>
      </x:c>
      <x:c r="B13" s="32" t="str">
        <x:v>RAM</x:v>
      </x:c>
      <x:c r="C13" s="32" t="str">
        <x:v>Laptop</x:v>
      </x:c>
      <x:c r="D13" s="32" t="str">
        <x:v>8GB PC3</x:v>
      </x:c>
      <x:c r="E13" s="32" t="str"/>
      <x:c r="F13" s="33" t="n">
        <x:v>73</x:v>
      </x:c>
      <x:c r="G13" s="34" t="n">
        <x:v>22</x:v>
      </x:c>
      <x:c r="H13" s="34" t="n">
        <x:f>F13*G13</x:f>
        <x:v>1606</x:v>
      </x:c>
      <x:c r="I13" s="32" t="str">
        <x:v>Image 1 - RAM</x:v>
      </x:c>
      <x:c r="J13" s="32" t="str"/>
    </x:row>
    <x:row r="14">
      <x:c r="A14" s="32" t="str">
        <x:v>RAM</x:v>
      </x:c>
      <x:c r="B14" s="32" t="str">
        <x:v>RAM</x:v>
      </x:c>
      <x:c r="C14" s="32" t="str">
        <x:v>Laptop</x:v>
      </x:c>
      <x:c r="D14" s="32" t="str">
        <x:v>8GB PC3L</x:v>
      </x:c>
      <x:c r="E14" s="32" t="str"/>
      <x:c r="F14" s="33" t="n">
        <x:v>249</x:v>
      </x:c>
      <x:c r="G14" s="34" t="n">
        <x:v>27</x:v>
      </x:c>
      <x:c r="H14" s="34" t="n">
        <x:f>F14*G14</x:f>
        <x:v>6723</x:v>
      </x:c>
      <x:c r="I14" s="32" t="str">
        <x:v>Image 1 - RAM</x:v>
      </x:c>
      <x:c r="J14" s="32" t="str"/>
    </x:row>
    <x:row r="15">
      <x:c r="A15" s="32" t="str">
        <x:v>RAM</x:v>
      </x:c>
      <x:c r="B15" s="32" t="str">
        <x:v>RAM</x:v>
      </x:c>
      <x:c r="C15" s="32" t="str">
        <x:v>Laptop</x:v>
      </x:c>
      <x:c r="D15" s="32" t="str">
        <x:v>8GB PC4</x:v>
      </x:c>
      <x:c r="E15" s="32" t="str"/>
      <x:c r="F15" s="33" t="n">
        <x:v>113</x:v>
      </x:c>
      <x:c r="G15" s="34" t="n">
        <x:v>80</x:v>
      </x:c>
      <x:c r="H15" s="34" t="n">
        <x:f>F15*G15</x:f>
        <x:v>9040</x:v>
      </x:c>
      <x:c r="I15" s="32" t="str">
        <x:v>Image 1 - RAM</x:v>
      </x:c>
      <x:c r="J15" s="32" t="str"/>
    </x:row>
    <x:row r="16">
      <x:c r="A16" s="32" t="str">
        <x:v>RAM</x:v>
      </x:c>
      <x:c r="B16" s="32" t="str">
        <x:v>RAM</x:v>
      </x:c>
      <x:c r="C16" s="32" t="str">
        <x:v>Laptop</x:v>
      </x:c>
      <x:c r="D16" s="32" t="str">
        <x:v>16GB PC4</x:v>
      </x:c>
      <x:c r="E16" s="32" t="str"/>
      <x:c r="F16" s="33" t="n">
        <x:v>91</x:v>
      </x:c>
      <x:c r="G16" s="34" t="n">
        <x:v>145</x:v>
      </x:c>
      <x:c r="H16" s="34" t="n">
        <x:f>F16*G16</x:f>
        <x:v>13195</x:v>
      </x:c>
      <x:c r="I16" s="32" t="str">
        <x:v>Image 1 - RAM</x:v>
      </x:c>
      <x:c r="J16" s="32" t="str"/>
    </x:row>
    <x:row r="17">
      <x:c r="A17" s="32" t="str">
        <x:v>RAM</x:v>
      </x:c>
      <x:c r="B17" s="32" t="str">
        <x:v>RAM</x:v>
      </x:c>
      <x:c r="C17" s="32" t="str">
        <x:v>Laptop</x:v>
      </x:c>
      <x:c r="D17" s="32" t="str">
        <x:v>4GB PC4</x:v>
      </x:c>
      <x:c r="E17" s="32" t="str"/>
      <x:c r="F17" s="33" t="n">
        <x:v>18</x:v>
      </x:c>
      <x:c r="G17" s="34" t="n">
        <x:v>40</x:v>
      </x:c>
      <x:c r="H17" s="34" t="n">
        <x:f>F17*G17</x:f>
        <x:v>720</x:v>
      </x:c>
      <x:c r="I17" s="32" t="str">
        <x:v>Image 1 - RAM</x:v>
      </x:c>
      <x:c r="J17" s="32" t="str">
        <x:v>Price overwritten/crossed on paper; final visible price 40 used.</x:v>
      </x:c>
    </x:row>
    <x:row r="18">
      <x:c r="A18" s="32" t="str">
        <x:v>RAM</x:v>
      </x:c>
      <x:c r="B18" s="32" t="str">
        <x:v>RAM</x:v>
      </x:c>
      <x:c r="C18" s="32" t="str">
        <x:v>Laptop</x:v>
      </x:c>
      <x:c r="D18" s="32" t="str">
        <x:v>32GB PC4</x:v>
      </x:c>
      <x:c r="E18" s="32" t="str"/>
      <x:c r="F18" s="33" t="n">
        <x:v>18</x:v>
      </x:c>
      <x:c r="G18" s="34" t="n">
        <x:v>290</x:v>
      </x:c>
      <x:c r="H18" s="34" t="n">
        <x:f>F18*G18</x:f>
        <x:v>5220</x:v>
      </x:c>
      <x:c r="I18" s="32" t="str">
        <x:v>Image 1 - RAM</x:v>
      </x:c>
      <x:c r="J18" s="32" t="str"/>
    </x:row>
    <x:row r="19">
      <x:c r="A19" s="32" t="str">
        <x:v>HDD</x:v>
      </x:c>
      <x:c r="B19" s="32" t="str">
        <x:v>HDD</x:v>
      </x:c>
      <x:c r="C19" s="32" t="str">
        <x:v>Desktop</x:v>
      </x:c>
      <x:c r="D19" s="32" t="str">
        <x:v>250GB</x:v>
      </x:c>
      <x:c r="E19" s="32" t="str"/>
      <x:c r="F19" s="33" t="n">
        <x:v>120</x:v>
      </x:c>
      <x:c r="G19" s="34" t="n">
        <x:v>8</x:v>
      </x:c>
      <x:c r="H19" s="34" t="n">
        <x:f>F19*G19</x:f>
        <x:v>960</x:v>
      </x:c>
      <x:c r="I19" s="32" t="str">
        <x:v>Image 2 - HDD Desktop</x:v>
      </x:c>
      <x:c r="J19" s="32" t="str"/>
    </x:row>
    <x:row r="20">
      <x:c r="A20" s="32" t="str">
        <x:v>HDD</x:v>
      </x:c>
      <x:c r="B20" s="32" t="str">
        <x:v>HDD</x:v>
      </x:c>
      <x:c r="C20" s="32" t="str">
        <x:v>Desktop</x:v>
      </x:c>
      <x:c r="D20" s="32" t="str">
        <x:v>320GB</x:v>
      </x:c>
      <x:c r="E20" s="32" t="str"/>
      <x:c r="F20" s="33" t="n">
        <x:v>218</x:v>
      </x:c>
      <x:c r="G20" s="34" t="n">
        <x:v>13</x:v>
      </x:c>
      <x:c r="H20" s="34" t="n">
        <x:f>F20*G20</x:f>
        <x:v>2834</x:v>
      </x:c>
      <x:c r="I20" s="32" t="str">
        <x:v>Image 2 - HDD Desktop</x:v>
      </x:c>
      <x:c r="J20" s="32" t="str"/>
    </x:row>
    <x:row r="21">
      <x:c r="A21" s="32" t="str">
        <x:v>HDD</x:v>
      </x:c>
      <x:c r="B21" s="32" t="str">
        <x:v>HDD</x:v>
      </x:c>
      <x:c r="C21" s="32" t="str">
        <x:v>Desktop</x:v>
      </x:c>
      <x:c r="D21" s="32" t="str">
        <x:v>500GB</x:v>
      </x:c>
      <x:c r="E21" s="32" t="str"/>
      <x:c r="F21" s="33" t="n">
        <x:v>465</x:v>
      </x:c>
      <x:c r="G21" s="34" t="n">
        <x:v>23.5</x:v>
      </x:c>
      <x:c r="H21" s="34" t="n">
        <x:f>F21*G21</x:f>
        <x:v>10927.5</x:v>
      </x:c>
      <x:c r="I21" s="32" t="str">
        <x:v>Image 2 - HDD Desktop</x:v>
      </x:c>
      <x:c r="J21" s="32" t="str"/>
    </x:row>
    <x:row r="22">
      <x:c r="A22" s="32" t="str">
        <x:v>HDD</x:v>
      </x:c>
      <x:c r="B22" s="32" t="str">
        <x:v>HDD</x:v>
      </x:c>
      <x:c r="C22" s="32" t="str">
        <x:v>Desktop</x:v>
      </x:c>
      <x:c r="D22" s="32" t="str">
        <x:v>1TB</x:v>
      </x:c>
      <x:c r="E22" s="32" t="str"/>
      <x:c r="F22" s="33" t="n">
        <x:v>443</x:v>
      </x:c>
      <x:c r="G22" s="34" t="n">
        <x:v>83</x:v>
      </x:c>
      <x:c r="H22" s="34" t="n">
        <x:f>F22*G22</x:f>
        <x:v>36769</x:v>
      </x:c>
      <x:c r="I22" s="32" t="str">
        <x:v>Image 2 - HDD Desktop</x:v>
      </x:c>
      <x:c r="J22" s="32" t="str"/>
    </x:row>
    <x:row r="23">
      <x:c r="A23" s="32" t="str">
        <x:v>HDD</x:v>
      </x:c>
      <x:c r="B23" s="32" t="str">
        <x:v>HDD</x:v>
      </x:c>
      <x:c r="C23" s="32" t="str">
        <x:v>Desktop</x:v>
      </x:c>
      <x:c r="D23" s="32" t="str">
        <x:v>2TB</x:v>
      </x:c>
      <x:c r="E23" s="32" t="str"/>
      <x:c r="F23" s="33" t="n">
        <x:v>282</x:v>
      </x:c>
      <x:c r="G23" s="34" t="n">
        <x:v>125</x:v>
      </x:c>
      <x:c r="H23" s="34" t="n">
        <x:f>F23*G23</x:f>
        <x:v>35250</x:v>
      </x:c>
      <x:c r="I23" s="32" t="str">
        <x:v>Image 2 - HDD Desktop</x:v>
      </x:c>
      <x:c r="J23" s="32" t="str"/>
    </x:row>
    <x:row r="24">
      <x:c r="A24" s="32" t="str">
        <x:v>HDD</x:v>
      </x:c>
      <x:c r="B24" s="32" t="str">
        <x:v>HDD</x:v>
      </x:c>
      <x:c r="C24" s="32" t="str">
        <x:v>Desktop</x:v>
      </x:c>
      <x:c r="D24" s="32" t="str">
        <x:v>3TB</x:v>
      </x:c>
      <x:c r="E24" s="32" t="str"/>
      <x:c r="F24" s="33" t="n">
        <x:v>54</x:v>
      </x:c>
      <x:c r="G24" s="34" t="n">
        <x:v>125</x:v>
      </x:c>
      <x:c r="H24" s="34" t="n">
        <x:f>F24*G24</x:f>
        <x:v>6750</x:v>
      </x:c>
      <x:c r="I24" s="32" t="str">
        <x:v>Image 2 - HDD Desktop</x:v>
      </x:c>
      <x:c r="J24" s="32" t="str"/>
    </x:row>
    <x:row r="25">
      <x:c r="A25" s="32" t="str">
        <x:v>HDD</x:v>
      </x:c>
      <x:c r="B25" s="32" t="str">
        <x:v>HDD</x:v>
      </x:c>
      <x:c r="C25" s="32" t="str">
        <x:v>Desktop</x:v>
      </x:c>
      <x:c r="D25" s="32" t="str">
        <x:v>4TB</x:v>
      </x:c>
      <x:c r="E25" s="32" t="str"/>
      <x:c r="F25" s="33" t="n">
        <x:v>86</x:v>
      </x:c>
      <x:c r="G25" s="34" t="n">
        <x:v>250</x:v>
      </x:c>
      <x:c r="H25" s="34" t="n">
        <x:f>F25*G25</x:f>
        <x:v>21500</x:v>
      </x:c>
      <x:c r="I25" s="32" t="str">
        <x:v>Image 2 - HDD Desktop</x:v>
      </x:c>
      <x:c r="J25" s="32" t="str"/>
    </x:row>
    <x:row r="26">
      <x:c r="A26" s="32" t="str">
        <x:v>HDD</x:v>
      </x:c>
      <x:c r="B26" s="32" t="str">
        <x:v>HDD</x:v>
      </x:c>
      <x:c r="C26" s="32" t="str">
        <x:v>Desktop</x:v>
      </x:c>
      <x:c r="D26" s="32" t="str">
        <x:v>6TB</x:v>
      </x:c>
      <x:c r="E26" s="32" t="str"/>
      <x:c r="F26" s="33" t="n">
        <x:v>33</x:v>
      </x:c>
      <x:c r="G26" s="34" t="n">
        <x:v>350</x:v>
      </x:c>
      <x:c r="H26" s="34" t="n">
        <x:f>F26*G26</x:f>
        <x:v>11550</x:v>
      </x:c>
      <x:c r="I26" s="32" t="str">
        <x:v>Image 2 - HDD Desktop</x:v>
      </x:c>
      <x:c r="J26" s="32" t="str"/>
    </x:row>
    <x:row r="27">
      <x:c r="A27" s="32" t="str">
        <x:v>HDD</x:v>
      </x:c>
      <x:c r="B27" s="32" t="str">
        <x:v>HDD</x:v>
      </x:c>
      <x:c r="C27" s="32" t="str">
        <x:v>Desktop</x:v>
      </x:c>
      <x:c r="D27" s="32" t="str">
        <x:v>8TB</x:v>
      </x:c>
      <x:c r="E27" s="32" t="str"/>
      <x:c r="F27" s="33" t="n">
        <x:v>42</x:v>
      </x:c>
      <x:c r="G27" s="34" t="n">
        <x:v>720</x:v>
      </x:c>
      <x:c r="H27" s="34" t="n">
        <x:f>F27*G27</x:f>
        <x:v>30240</x:v>
      </x:c>
      <x:c r="I27" s="32" t="str">
        <x:v>Image 2 - HDD Desktop</x:v>
      </x:c>
      <x:c r="J27" s="32" t="str"/>
    </x:row>
    <x:row r="28">
      <x:c r="A28" s="32" t="str">
        <x:v>HDD</x:v>
      </x:c>
      <x:c r="B28" s="32" t="str">
        <x:v>HDD</x:v>
      </x:c>
      <x:c r="C28" s="32" t="str">
        <x:v>Desktop</x:v>
      </x:c>
      <x:c r="D28" s="32" t="str">
        <x:v>10TB</x:v>
      </x:c>
      <x:c r="E28" s="32" t="str"/>
      <x:c r="F28" s="33" t="n">
        <x:v>6</x:v>
      </x:c>
      <x:c r="G28" s="34" t="n">
        <x:v>810</x:v>
      </x:c>
      <x:c r="H28" s="34" t="n">
        <x:f>F28*G28</x:f>
        <x:v>4860</x:v>
      </x:c>
      <x:c r="I28" s="32" t="str">
        <x:v>Image 2 - HDD Desktop</x:v>
      </x:c>
      <x:c r="J28" s="32" t="str"/>
    </x:row>
    <x:row r="29">
      <x:c r="A29" s="32" t="str">
        <x:v>HDD</x:v>
      </x:c>
      <x:c r="B29" s="32" t="str">
        <x:v>HDD</x:v>
      </x:c>
      <x:c r="C29" s="32" t="str">
        <x:v>Desktop</x:v>
      </x:c>
      <x:c r="D29" s="32" t="str">
        <x:v>12TB</x:v>
      </x:c>
      <x:c r="E29" s="32" t="str"/>
      <x:c r="F29" s="33" t="n">
        <x:v>3</x:v>
      </x:c>
      <x:c r="G29" s="34" t="n">
        <x:v>850</x:v>
      </x:c>
      <x:c r="H29" s="34" t="n">
        <x:f>F29*G29</x:f>
        <x:v>2550</x:v>
      </x:c>
      <x:c r="I29" s="32" t="str">
        <x:v>Image 2 - HDD Desktop</x:v>
      </x:c>
      <x:c r="J29" s="32" t="str"/>
    </x:row>
    <x:row r="30">
      <x:c r="A30" s="32" t="str">
        <x:v>HDD</x:v>
      </x:c>
      <x:c r="B30" s="32" t="str">
        <x:v>HDD</x:v>
      </x:c>
      <x:c r="C30" s="32" t="str">
        <x:v>Desktop</x:v>
      </x:c>
      <x:c r="D30" s="32" t="str">
        <x:v>16TB</x:v>
      </x:c>
      <x:c r="E30" s="32" t="str"/>
      <x:c r="F30" s="33" t="n">
        <x:v>1</x:v>
      </x:c>
      <x:c r="G30" s="34" t="n">
        <x:v>1000</x:v>
      </x:c>
      <x:c r="H30" s="34" t="n">
        <x:f>F30*G30</x:f>
        <x:v>1000</x:v>
      </x:c>
      <x:c r="I30" s="32" t="str">
        <x:v>Image 2 - HDD Desktop</x:v>
      </x:c>
      <x:c r="J30" s="32" t="str"/>
    </x:row>
    <x:row r="31">
      <x:c r="A31" s="32" t="str">
        <x:v>HDD</x:v>
      </x:c>
      <x:c r="B31" s="32" t="str">
        <x:v>HDD</x:v>
      </x:c>
      <x:c r="C31" s="32" t="str">
        <x:v>Laptop</x:v>
      </x:c>
      <x:c r="D31" s="32" t="str">
        <x:v>160GB</x:v>
      </x:c>
      <x:c r="E31" s="32" t="str"/>
      <x:c r="F31" s="33" t="n">
        <x:v>62</x:v>
      </x:c>
      <x:c r="G31" s="34" t="n">
        <x:v>5.5</x:v>
      </x:c>
      <x:c r="H31" s="34" t="n">
        <x:f>F31*G31</x:f>
        <x:v>341</x:v>
      </x:c>
      <x:c r="I31" s="32" t="str">
        <x:v>Image 3 - Laptop HDD</x:v>
      </x:c>
      <x:c r="J31" s="32" t="str"/>
    </x:row>
    <x:row r="32">
      <x:c r="A32" s="32" t="str">
        <x:v>HDD</x:v>
      </x:c>
      <x:c r="B32" s="32" t="str">
        <x:v>HDD</x:v>
      </x:c>
      <x:c r="C32" s="32" t="str">
        <x:v>Laptop</x:v>
      </x:c>
      <x:c r="D32" s="32" t="str">
        <x:v>250GB</x:v>
      </x:c>
      <x:c r="E32" s="32" t="str"/>
      <x:c r="F32" s="33" t="n">
        <x:v>69</x:v>
      </x:c>
      <x:c r="G32" s="34" t="n">
        <x:v>11</x:v>
      </x:c>
      <x:c r="H32" s="34" t="n">
        <x:f>F32*G32</x:f>
        <x:v>759</x:v>
      </x:c>
      <x:c r="I32" s="32" t="str">
        <x:v>Image 3 - Laptop HDD</x:v>
      </x:c>
      <x:c r="J32" s="32" t="str"/>
    </x:row>
    <x:row r="33">
      <x:c r="A33" s="32" t="str">
        <x:v>HDD</x:v>
      </x:c>
      <x:c r="B33" s="32" t="str">
        <x:v>HDD</x:v>
      </x:c>
      <x:c r="C33" s="32" t="str">
        <x:v>Laptop</x:v>
      </x:c>
      <x:c r="D33" s="32" t="str">
        <x:v>320GB</x:v>
      </x:c>
      <x:c r="E33" s="32" t="str"/>
      <x:c r="F33" s="33" t="n">
        <x:v>371</x:v>
      </x:c>
      <x:c r="G33" s="34" t="n">
        <x:v>5.5</x:v>
      </x:c>
      <x:c r="H33" s="34" t="n">
        <x:f>F33*G33</x:f>
        <x:v>2040.5</x:v>
      </x:c>
      <x:c r="I33" s="32" t="str">
        <x:v>Image 3 - Laptop HDD</x:v>
      </x:c>
      <x:c r="J33" s="32" t="str">
        <x:v>Rate appears as 5.5.</x:v>
      </x:c>
    </x:row>
    <x:row r="34">
      <x:c r="A34" s="32" t="str">
        <x:v>HDD</x:v>
      </x:c>
      <x:c r="B34" s="32" t="str">
        <x:v>HDD</x:v>
      </x:c>
      <x:c r="C34" s="32" t="str">
        <x:v>Laptop</x:v>
      </x:c>
      <x:c r="D34" s="32" t="str">
        <x:v>500GB</x:v>
      </x:c>
      <x:c r="E34" s="32" t="str">
        <x:v>Slim</x:v>
      </x:c>
      <x:c r="F34" s="33" t="n">
        <x:v>112</x:v>
      </x:c>
      <x:c r="G34" s="34" t="n">
        <x:v>29</x:v>
      </x:c>
      <x:c r="H34" s="34" t="n">
        <x:f>F34*G34</x:f>
        <x:v>3248</x:v>
      </x:c>
      <x:c r="I34" s="32" t="str">
        <x:v>Image 3 - Laptop HDD</x:v>
      </x:c>
      <x:c r="J34" s="32" t="str"/>
    </x:row>
    <x:row r="35">
      <x:c r="A35" s="32" t="str">
        <x:v>HDD</x:v>
      </x:c>
      <x:c r="B35" s="32" t="str">
        <x:v>HDD</x:v>
      </x:c>
      <x:c r="C35" s="32" t="str">
        <x:v>Laptop</x:v>
      </x:c>
      <x:c r="D35" s="32" t="str">
        <x:v>500GB</x:v>
      </x:c>
      <x:c r="E35" s="32" t="str">
        <x:v>Fat</x:v>
      </x:c>
      <x:c r="F35" s="33" t="n">
        <x:v>85</x:v>
      </x:c>
      <x:c r="G35" s="34" t="n">
        <x:v>28</x:v>
      </x:c>
      <x:c r="H35" s="34" t="n">
        <x:f>F35*G35</x:f>
        <x:v>2380</x:v>
      </x:c>
      <x:c r="I35" s="32" t="str">
        <x:v>Image 3 - Laptop HDD</x:v>
      </x:c>
      <x:c r="J35" s="32" t="str"/>
    </x:row>
    <x:row r="36">
      <x:c r="A36" s="32" t="str">
        <x:v>HDD</x:v>
      </x:c>
      <x:c r="B36" s="32" t="str">
        <x:v>HDD</x:v>
      </x:c>
      <x:c r="C36" s="32" t="str">
        <x:v>Laptop</x:v>
      </x:c>
      <x:c r="D36" s="32" t="str">
        <x:v>1TB</x:v>
      </x:c>
      <x:c r="E36" s="32" t="str">
        <x:v>Slim</x:v>
      </x:c>
      <x:c r="F36" s="33" t="n">
        <x:v>4</x:v>
      </x:c>
      <x:c r="G36" s="34" t="n">
        <x:v>78</x:v>
      </x:c>
      <x:c r="H36" s="34" t="n">
        <x:f>F36*G36</x:f>
        <x:v>312</x:v>
      </x:c>
      <x:c r="I36" s="32" t="str">
        <x:v>Image 3 - Laptop HDD</x:v>
      </x:c>
      <x:c r="J36" s="32" t="str">
        <x:v>Quantity partly scribbled/crossed; transcribed as 4. Please verify.</x:v>
      </x:c>
    </x:row>
    <x:row r="37">
      <x:c r="A37" s="32" t="str">
        <x:v>HDD</x:v>
      </x:c>
      <x:c r="B37" s="32" t="str">
        <x:v>HDD</x:v>
      </x:c>
      <x:c r="C37" s="32" t="str">
        <x:v>Laptop</x:v>
      </x:c>
      <x:c r="D37" s="32" t="str">
        <x:v>1TB</x:v>
      </x:c>
      <x:c r="E37" s="32" t="str">
        <x:v>Fat</x:v>
      </x:c>
      <x:c r="F37" s="33" t="n">
        <x:v>1</x:v>
      </x:c>
      <x:c r="G37" s="34" t="n">
        <x:v>78</x:v>
      </x:c>
      <x:c r="H37" s="34" t="n">
        <x:f>F37*G37</x:f>
        <x:v>78</x:v>
      </x:c>
      <x:c r="I37" s="32" t="str">
        <x:v>Image 3 - Laptop HDD</x:v>
      </x:c>
      <x:c r="J37" s="32" t="str"/>
    </x:row>
    <x:row r="38">
      <x:c r="A38" s="32" t="str">
        <x:v>HDD</x:v>
      </x:c>
      <x:c r="B38" s="32" t="str">
        <x:v>HDD</x:v>
      </x:c>
      <x:c r="C38" s="32" t="str">
        <x:v>Laptop</x:v>
      </x:c>
      <x:c r="D38" s="32" t="str">
        <x:v>2TB</x:v>
      </x:c>
      <x:c r="E38" s="32" t="str"/>
      <x:c r="F38" s="33" t="n">
        <x:v>1</x:v>
      </x:c>
      <x:c r="G38" s="34" t="n">
        <x:v>130</x:v>
      </x:c>
      <x:c r="H38" s="34" t="n">
        <x:f>F38*G38</x:f>
        <x:v>130</x:v>
      </x:c>
      <x:c r="I38" s="32" t="str">
        <x:v>Image 3 - Laptop HDD</x:v>
      </x:c>
      <x:c r="J38" s="32" t="str"/>
    </x:row>
    <x:row r="39">
      <x:c r="A39" s="32" t="str">
        <x:v>HDD</x:v>
      </x:c>
      <x:c r="B39" s="32" t="str">
        <x:v>HDD</x:v>
      </x:c>
      <x:c r="C39" s="32" t="str">
        <x:v>Extra Fat</x:v>
      </x:c>
      <x:c r="D39" s="32" t="str">
        <x:v>2TB</x:v>
      </x:c>
      <x:c r="E39" s="32" t="str"/>
      <x:c r="F39" s="33" t="n">
        <x:v>6</x:v>
      </x:c>
      <x:c r="G39" s="34" t="n">
        <x:v>55</x:v>
      </x:c>
      <x:c r="H39" s="34" t="n">
        <x:f>F39*G39</x:f>
        <x:v>330</x:v>
      </x:c>
      <x:c r="I39" s="32" t="str">
        <x:v>Image 3 - Extra Fat HDD</x:v>
      </x:c>
      <x:c r="J39" s="32" t="str"/>
    </x:row>
    <x:row r="40">
      <x:c r="A40" s="32" t="str">
        <x:v>HDD</x:v>
      </x:c>
      <x:c r="B40" s="32" t="str">
        <x:v>HDD</x:v>
      </x:c>
      <x:c r="C40" s="32" t="str">
        <x:v>Extra Fat</x:v>
      </x:c>
      <x:c r="D40" s="32" t="str">
        <x:v>1TB</x:v>
      </x:c>
      <x:c r="E40" s="32" t="str"/>
      <x:c r="F40" s="33" t="n">
        <x:v>20</x:v>
      </x:c>
      <x:c r="G40" s="34" t="n">
        <x:v>38</x:v>
      </x:c>
      <x:c r="H40" s="34" t="n">
        <x:f>F40*G40</x:f>
        <x:v>760</x:v>
      </x:c>
      <x:c r="I40" s="32" t="str">
        <x:v>Image 3 - Extra Fat HDD</x:v>
      </x:c>
      <x:c r="J40" s="32" t="str"/>
    </x:row>
    <x:row r="41">
      <x:c r="A41" s="32" t="str">
        <x:v>HDD</x:v>
      </x:c>
      <x:c r="B41" s="32" t="str">
        <x:v>HDD</x:v>
      </x:c>
      <x:c r="C41" s="32" t="str">
        <x:v>Extra Fat</x:v>
      </x:c>
      <x:c r="D41" s="32" t="str">
        <x:v>500GB</x:v>
      </x:c>
      <x:c r="E41" s="32" t="str"/>
      <x:c r="F41" s="33" t="n">
        <x:v>18</x:v>
      </x:c>
      <x:c r="G41" s="34" t="n">
        <x:v>9</x:v>
      </x:c>
      <x:c r="H41" s="34" t="n">
        <x:f>F41*G41</x:f>
        <x:v>162</x:v>
      </x:c>
      <x:c r="I41" s="32" t="str">
        <x:v>Image 3 - Extra Fat HDD</x:v>
      </x:c>
      <x:c r="J41" s="32" t="str"/>
    </x:row>
    <x:row r="42">
      <x:c r="A42" s="32" t="str">
        <x:v>HDD</x:v>
      </x:c>
      <x:c r="B42" s="32" t="str">
        <x:v>HDD</x:v>
      </x:c>
      <x:c r="C42" s="32" t="str">
        <x:v>Extra Fat</x:v>
      </x:c>
      <x:c r="D42" s="32" t="str">
        <x:v>4TB</x:v>
      </x:c>
      <x:c r="E42" s="32" t="str"/>
      <x:c r="F42" s="33" t="n">
        <x:v>17</x:v>
      </x:c>
      <x:c r="G42" s="34" t="n">
        <x:v>130</x:v>
      </x:c>
      <x:c r="H42" s="34" t="n">
        <x:f>F42*G42</x:f>
        <x:v>2210</x:v>
      </x:c>
      <x:c r="I42" s="32" t="str">
        <x:v>Image 3 - Extra Fat HDD</x:v>
      </x:c>
      <x:c r="J42" s="32" t="str"/>
    </x:row>
    <x:row r="43">
      <x:c r="A43" s="32" t="str">
        <x:v>SSD</x:v>
      </x:c>
      <x:c r="B43" s="32" t="str">
        <x:v>M.2 SSD</x:v>
      </x:c>
      <x:c r="C43" s="32" t="str">
        <x:v>M.2</x:v>
      </x:c>
      <x:c r="D43" s="32" t="str">
        <x:v>128GB</x:v>
      </x:c>
      <x:c r="E43" s="32" t="str"/>
      <x:c r="F43" s="33" t="n">
        <x:v>81</x:v>
      </x:c>
      <x:c r="G43" s="34" t="n">
        <x:v>31</x:v>
      </x:c>
      <x:c r="H43" s="34" t="n">
        <x:f>F43*G43</x:f>
        <x:v>2511</x:v>
      </x:c>
      <x:c r="I43" s="32" t="str">
        <x:v>Image 4 - M.2 SSD</x:v>
      </x:c>
      <x:c r="J43" s="32" t="str"/>
    </x:row>
    <x:row r="44">
      <x:c r="A44" s="32" t="str">
        <x:v>SSD</x:v>
      </x:c>
      <x:c r="B44" s="32" t="str">
        <x:v>M.2 SSD</x:v>
      </x:c>
      <x:c r="C44" s="32" t="str">
        <x:v>M.2</x:v>
      </x:c>
      <x:c r="D44" s="32" t="str">
        <x:v>256GB</x:v>
      </x:c>
      <x:c r="E44" s="32" t="str"/>
      <x:c r="F44" s="33" t="n">
        <x:v>97</x:v>
      </x:c>
      <x:c r="G44" s="34" t="n">
        <x:v>77</x:v>
      </x:c>
      <x:c r="H44" s="34" t="n">
        <x:f>F44*G44</x:f>
        <x:v>7469</x:v>
      </x:c>
      <x:c r="I44" s="32" t="str">
        <x:v>Image 4 - M.2 SSD</x:v>
      </x:c>
      <x:c r="J44" s="32" t="str"/>
    </x:row>
    <x:row r="45">
      <x:c r="A45" s="32" t="str">
        <x:v>SSD</x:v>
      </x:c>
      <x:c r="B45" s="32" t="str">
        <x:v>M.2 SSD</x:v>
      </x:c>
      <x:c r="C45" s="32" t="str">
        <x:v>M.2</x:v>
      </x:c>
      <x:c r="D45" s="32" t="str">
        <x:v>256GB</x:v>
      </x:c>
      <x:c r="E45" s="32" t="str">
        <x:v>China</x:v>
      </x:c>
      <x:c r="F45" s="33" t="n">
        <x:v>52</x:v>
      </x:c>
      <x:c r="G45" s="34" t="n">
        <x:v>60</x:v>
      </x:c>
      <x:c r="H45" s="34" t="n">
        <x:f>F45*G45</x:f>
        <x:v>3120</x:v>
      </x:c>
      <x:c r="I45" s="32" t="str">
        <x:v>Image 4 - M.2 SSD</x:v>
      </x:c>
      <x:c r="J45" s="32" t="str"/>
    </x:row>
    <x:row r="46">
      <x:c r="A46" s="32" t="str">
        <x:v>SSD</x:v>
      </x:c>
      <x:c r="B46" s="32" t="str">
        <x:v>M.2 SSD</x:v>
      </x:c>
      <x:c r="C46" s="32" t="str">
        <x:v>M.2</x:v>
      </x:c>
      <x:c r="D46" s="32" t="str">
        <x:v>512GB</x:v>
      </x:c>
      <x:c r="E46" s="32" t="str"/>
      <x:c r="F46" s="33" t="n">
        <x:v>30</x:v>
      </x:c>
      <x:c r="G46" s="34" t="n">
        <x:v>125</x:v>
      </x:c>
      <x:c r="H46" s="34" t="n">
        <x:f>F46*G46</x:f>
        <x:v>3750</x:v>
      </x:c>
      <x:c r="I46" s="32" t="str">
        <x:v>Image 4 - M.2 SSD</x:v>
      </x:c>
      <x:c r="J46" s="32" t="str"/>
    </x:row>
    <x:row r="47">
      <x:c r="A47" s="32" t="str">
        <x:v>SSD</x:v>
      </x:c>
      <x:c r="B47" s="32" t="str">
        <x:v>M.2 SSD</x:v>
      </x:c>
      <x:c r="C47" s="32" t="str">
        <x:v>M.2</x:v>
      </x:c>
      <x:c r="D47" s="32" t="str">
        <x:v>512GB</x:v>
      </x:c>
      <x:c r="E47" s="32" t="str">
        <x:v>China</x:v>
      </x:c>
      <x:c r="F47" s="33" t="n">
        <x:v>4</x:v>
      </x:c>
      <x:c r="G47" s="34" t="n">
        <x:v>100</x:v>
      </x:c>
      <x:c r="H47" s="34" t="n">
        <x:f>F47*G47</x:f>
        <x:v>400</x:v>
      </x:c>
      <x:c r="I47" s="32" t="str">
        <x:v>Image 4 - M.2 SSD</x:v>
      </x:c>
      <x:c r="J47" s="32" t="str"/>
    </x:row>
    <x:row r="48">
      <x:c r="A48" s="32" t="str">
        <x:v>SSD</x:v>
      </x:c>
      <x:c r="B48" s="32" t="str">
        <x:v>M.2 SSD</x:v>
      </x:c>
      <x:c r="C48" s="32" t="str">
        <x:v>M.2</x:v>
      </x:c>
      <x:c r="D48" s="32" t="str">
        <x:v>960GB</x:v>
      </x:c>
      <x:c r="E48" s="32" t="str"/>
      <x:c r="F48" s="33" t="n">
        <x:v>7</x:v>
      </x:c>
      <x:c r="G48" s="34" t="n">
        <x:v>200</x:v>
      </x:c>
      <x:c r="H48" s="34" t="n">
        <x:f>F48*G48</x:f>
        <x:v>1400</x:v>
      </x:c>
      <x:c r="I48" s="32" t="str">
        <x:v>Image 4 - M.2 SSD</x:v>
      </x:c>
      <x:c r="J48" s="32" t="str"/>
    </x:row>
    <x:row r="49">
      <x:c r="A49" s="32" t="str">
        <x:v>SSD</x:v>
      </x:c>
      <x:c r="B49" s="32" t="str">
        <x:v>M.2 SSD</x:v>
      </x:c>
      <x:c r="C49" s="32" t="str">
        <x:v>M.2</x:v>
      </x:c>
      <x:c r="D49" s="32" t="str">
        <x:v>1TB</x:v>
      </x:c>
      <x:c r="E49" s="32" t="str"/>
      <x:c r="F49" s="33" t="n">
        <x:v>5</x:v>
      </x:c>
      <x:c r="G49" s="34" t="n">
        <x:v>350</x:v>
      </x:c>
      <x:c r="H49" s="34" t="n">
        <x:f>F49*G49</x:f>
        <x:v>1750</x:v>
      </x:c>
      <x:c r="I49" s="32" t="str">
        <x:v>Image 4 - M.2 SSD</x:v>
      </x:c>
      <x:c r="J49" s="32" t="str"/>
    </x:row>
    <x:row r="50">
      <x:c r="A50" s="32" t="str">
        <x:v>SSD</x:v>
      </x:c>
      <x:c r="B50" s="32" t="str">
        <x:v>M.2 SSD</x:v>
      </x:c>
      <x:c r="C50" s="32" t="str">
        <x:v>M.2</x:v>
      </x:c>
      <x:c r="D50" s="32" t="str">
        <x:v>1TB</x:v>
      </x:c>
      <x:c r="E50" s="32" t="str">
        <x:v>China</x:v>
      </x:c>
      <x:c r="F50" s="33" t="n">
        <x:v>6</x:v>
      </x:c>
      <x:c r="G50" s="34" t="n">
        <x:v>220</x:v>
      </x:c>
      <x:c r="H50" s="34" t="n">
        <x:f>F50*G50</x:f>
        <x:v>1320</x:v>
      </x:c>
      <x:c r="I50" s="32" t="str">
        <x:v>Image 4 - M.2 SSD</x:v>
      </x:c>
      <x:c r="J50" s="32" t="str"/>
    </x:row>
    <x:row r="51">
      <x:c r="A51" s="32" t="str">
        <x:v>SSD</x:v>
      </x:c>
      <x:c r="B51" s="32" t="str">
        <x:v>M.2 SSD</x:v>
      </x:c>
      <x:c r="C51" s="32" t="str">
        <x:v>M.2</x:v>
      </x:c>
      <x:c r="D51" s="32" t="str">
        <x:v>2TB</x:v>
      </x:c>
      <x:c r="E51" s="32" t="str"/>
      <x:c r="F51" s="33" t="n">
        <x:v>6</x:v>
      </x:c>
      <x:c r="G51" s="34" t="n">
        <x:v>380</x:v>
      </x:c>
      <x:c r="H51" s="34" t="n">
        <x:f>F51*G51</x:f>
        <x:v>2280</x:v>
      </x:c>
      <x:c r="I51" s="32" t="str">
        <x:v>Image 4 - M.2 SSD</x:v>
      </x:c>
      <x:c r="J51" s="32" t="str"/>
    </x:row>
    <x:row r="52">
      <x:c r="A52" s="32" t="str">
        <x:v>SSD</x:v>
      </x:c>
      <x:c r="B52" s="32" t="str">
        <x:v>SATA SSD</x:v>
      </x:c>
      <x:c r="C52" s="32" t="str">
        <x:v>M1</x:v>
      </x:c>
      <x:c r="D52" s="32" t="str">
        <x:v>128GB</x:v>
      </x:c>
      <x:c r="E52" s="32" t="str"/>
      <x:c r="F52" s="33" t="n">
        <x:v>140</x:v>
      </x:c>
      <x:c r="G52" s="34" t="n">
        <x:v>22</x:v>
      </x:c>
      <x:c r="H52" s="34" t="n">
        <x:f>F52*G52</x:f>
        <x:v>3080</x:v>
      </x:c>
      <x:c r="I52" s="32" t="str">
        <x:v>Image 5 - SSD</x:v>
      </x:c>
      <x:c r="J52" s="32" t="str"/>
    </x:row>
    <x:row r="53">
      <x:c r="A53" s="32" t="str">
        <x:v>SSD</x:v>
      </x:c>
      <x:c r="B53" s="32" t="str">
        <x:v>SATA SSD</x:v>
      </x:c>
      <x:c r="C53" s="32" t="str">
        <x:v>M1</x:v>
      </x:c>
      <x:c r="D53" s="32" t="str">
        <x:v>256GB</x:v>
      </x:c>
      <x:c r="E53" s="32" t="str"/>
      <x:c r="F53" s="33" t="n">
        <x:v>42</x:v>
      </x:c>
      <x:c r="G53" s="34" t="n">
        <x:v>65</x:v>
      </x:c>
      <x:c r="H53" s="34" t="n">
        <x:f>F53*G53</x:f>
        <x:v>2730</x:v>
      </x:c>
      <x:c r="I53" s="32" t="str">
        <x:v>Image 5 - SSD</x:v>
      </x:c>
      <x:c r="J53" s="32" t="str"/>
    </x:row>
    <x:row r="54">
      <x:c r="A54" s="32" t="str">
        <x:v>SSD</x:v>
      </x:c>
      <x:c r="B54" s="32" t="str">
        <x:v>SATA SSD</x:v>
      </x:c>
      <x:c r="C54" s="32" t="str">
        <x:v>M1</x:v>
      </x:c>
      <x:c r="D54" s="32" t="str">
        <x:v>512GB</x:v>
      </x:c>
      <x:c r="E54" s="32" t="str"/>
      <x:c r="F54" s="33" t="n">
        <x:v>24</x:v>
      </x:c>
      <x:c r="G54" s="34" t="n">
        <x:v>100</x:v>
      </x:c>
      <x:c r="H54" s="34" t="n">
        <x:f>F54*G54</x:f>
        <x:v>2400</x:v>
      </x:c>
      <x:c r="I54" s="32" t="str">
        <x:v>Image 5 - SSD</x:v>
      </x:c>
      <x:c r="J54" s="32" t="str"/>
    </x:row>
    <x:row r="55">
      <x:c r="A55" s="32" t="str">
        <x:v>SSD</x:v>
      </x:c>
      <x:c r="B55" s="32" t="str">
        <x:v>SATA SSD</x:v>
      </x:c>
      <x:c r="C55" s="32" t="str">
        <x:v>2.5 inch</x:v>
      </x:c>
      <x:c r="D55" s="32" t="str">
        <x:v>120GB</x:v>
      </x:c>
      <x:c r="E55" s="32" t="str"/>
      <x:c r="F55" s="33" t="n">
        <x:v>24</x:v>
      </x:c>
      <x:c r="G55" s="34" t="n">
        <x:v>35</x:v>
      </x:c>
      <x:c r="H55" s="34" t="n">
        <x:f>F55*G55</x:f>
        <x:v>840</x:v>
      </x:c>
      <x:c r="I55" s="32" t="str">
        <x:v>Image 5 - SSD</x:v>
      </x:c>
      <x:c r="J55" s="32" t="str"/>
    </x:row>
    <x:row r="56">
      <x:c r="A56" s="32" t="str">
        <x:v>SSD</x:v>
      </x:c>
      <x:c r="B56" s="32" t="str">
        <x:v>SATA SSD</x:v>
      </x:c>
      <x:c r="C56" s="32" t="str">
        <x:v>2.5 inch</x:v>
      </x:c>
      <x:c r="D56" s="32" t="str">
        <x:v>128GB</x:v>
      </x:c>
      <x:c r="E56" s="32" t="str"/>
      <x:c r="F56" s="33" t="n">
        <x:v>79</x:v>
      </x:c>
      <x:c r="G56" s="34" t="n">
        <x:v>37</x:v>
      </x:c>
      <x:c r="H56" s="34" t="n">
        <x:f>F56*G56</x:f>
        <x:v>2923</x:v>
      </x:c>
      <x:c r="I56" s="32" t="str">
        <x:v>Image 5 - SSD</x:v>
      </x:c>
      <x:c r="J56" s="32" t="str"/>
    </x:row>
    <x:row r="57">
      <x:c r="A57" s="32" t="str">
        <x:v>SSD</x:v>
      </x:c>
      <x:c r="B57" s="32" t="str">
        <x:v>SATA SSD</x:v>
      </x:c>
      <x:c r="C57" s="32" t="str">
        <x:v>2.5 inch</x:v>
      </x:c>
      <x:c r="D57" s="32" t="str">
        <x:v>240GB</x:v>
      </x:c>
      <x:c r="E57" s="32" t="str"/>
      <x:c r="F57" s="33" t="n">
        <x:v>30</x:v>
      </x:c>
      <x:c r="G57" s="34" t="n">
        <x:v>65</x:v>
      </x:c>
      <x:c r="H57" s="34" t="n">
        <x:f>F57*G57</x:f>
        <x:v>1950</x:v>
      </x:c>
      <x:c r="I57" s="32" t="str">
        <x:v>Image 5 - SSD</x:v>
      </x:c>
      <x:c r="J57" s="32" t="str"/>
    </x:row>
    <x:row r="58">
      <x:c r="A58" s="32" t="str">
        <x:v>SSD</x:v>
      </x:c>
      <x:c r="B58" s="32" t="str">
        <x:v>SATA SSD</x:v>
      </x:c>
      <x:c r="C58" s="32" t="str">
        <x:v>2.5 inch</x:v>
      </x:c>
      <x:c r="D58" s="32" t="str">
        <x:v>256GB</x:v>
      </x:c>
      <x:c r="E58" s="32" t="str"/>
      <x:c r="F58" s="33" t="n">
        <x:v>146</x:v>
      </x:c>
      <x:c r="G58" s="34" t="n">
        <x:v>73</x:v>
      </x:c>
      <x:c r="H58" s="34" t="n">
        <x:f>F58*G58</x:f>
        <x:v>10658</x:v>
      </x:c>
      <x:c r="I58" s="32" t="str">
        <x:v>Image 5 - SSD</x:v>
      </x:c>
      <x:c r="J58" s="32" t="str"/>
    </x:row>
    <x:row r="59">
      <x:c r="A59" s="32" t="str">
        <x:v>SSD</x:v>
      </x:c>
      <x:c r="B59" s="32" t="str">
        <x:v>SATA SSD</x:v>
      </x:c>
      <x:c r="C59" s="32" t="str">
        <x:v>2.5 inch</x:v>
      </x:c>
      <x:c r="D59" s="32" t="str">
        <x:v>480GB</x:v>
      </x:c>
      <x:c r="E59" s="32" t="str"/>
      <x:c r="F59" s="33" t="n">
        <x:v>29</x:v>
      </x:c>
      <x:c r="G59" s="34" t="n">
        <x:v>100</x:v>
      </x:c>
      <x:c r="H59" s="34" t="n">
        <x:f>F59*G59</x:f>
        <x:v>2900</x:v>
      </x:c>
      <x:c r="I59" s="32" t="str">
        <x:v>Image 5 - SSD</x:v>
      </x:c>
      <x:c r="J59" s="32" t="str"/>
    </x:row>
    <x:row r="60">
      <x:c r="A60" s="32" t="str">
        <x:v>SSD</x:v>
      </x:c>
      <x:c r="B60" s="32" t="str">
        <x:v>SATA SSD</x:v>
      </x:c>
      <x:c r="C60" s="32" t="str">
        <x:v>2.5 inch Pulled</x:v>
      </x:c>
      <x:c r="D60" s="32" t="str">
        <x:v>512GB</x:v>
      </x:c>
      <x:c r="E60" s="32" t="str"/>
      <x:c r="F60" s="33" t="n">
        <x:v>98</x:v>
      </x:c>
      <x:c r="G60" s="34" t="n">
        <x:v>127</x:v>
      </x:c>
      <x:c r="H60" s="34" t="n">
        <x:f>F60*G60</x:f>
        <x:v>12446</x:v>
      </x:c>
      <x:c r="I60" s="32" t="str">
        <x:v>Image 5 - SSD</x:v>
      </x:c>
      <x:c r="J60" s="32" t="str"/>
    </x:row>
    <x:row r="61">
      <x:c r="A61" s="32" t="str">
        <x:v>SSD</x:v>
      </x:c>
      <x:c r="B61" s="32" t="str">
        <x:v>SATA SSD</x:v>
      </x:c>
      <x:c r="C61" s="32" t="str">
        <x:v>2.5 inch China</x:v>
      </x:c>
      <x:c r="D61" s="32" t="str">
        <x:v>512GB</x:v>
      </x:c>
      <x:c r="E61" s="32" t="str"/>
      <x:c r="F61" s="33" t="n">
        <x:v>15</x:v>
      </x:c>
      <x:c r="G61" s="34" t="n">
        <x:v>100</x:v>
      </x:c>
      <x:c r="H61" s="34" t="n">
        <x:f>F61*G61</x:f>
        <x:v>1500</x:v>
      </x:c>
      <x:c r="I61" s="32" t="str">
        <x:v>Image 5 - SSD</x:v>
      </x:c>
      <x:c r="J61" s="32" t="str"/>
    </x:row>
    <x:row r="62">
      <x:c r="A62" s="32" t="str">
        <x:v>SSD</x:v>
      </x:c>
      <x:c r="B62" s="32" t="str">
        <x:v>SATA SSD</x:v>
      </x:c>
      <x:c r="C62" s="32" t="str">
        <x:v>2.5 inch</x:v>
      </x:c>
      <x:c r="D62" s="32" t="str">
        <x:v>1TB</x:v>
      </x:c>
      <x:c r="E62" s="32" t="str"/>
      <x:c r="F62" s="33" t="n">
        <x:v>5</x:v>
      </x:c>
      <x:c r="G62" s="34" t="n">
        <x:v>220</x:v>
      </x:c>
      <x:c r="H62" s="34" t="n">
        <x:f>F62*G62</x:f>
        <x:v>1100</x:v>
      </x:c>
      <x:c r="I62" s="32" t="str">
        <x:v>Image 5 - SSD</x:v>
      </x:c>
      <x:c r="J62" s="32" t="str"/>
    </x:row>
    <x:row r="63">
      <x:c r="A63" s="32" t="str">
        <x:v>SSD</x:v>
      </x:c>
      <x:c r="B63" s="32" t="str">
        <x:v>SATA SSD</x:v>
      </x:c>
      <x:c r="C63" s="32" t="str">
        <x:v>2.5 inch</x:v>
      </x:c>
      <x:c r="D63" s="32" t="str">
        <x:v>2TB</x:v>
      </x:c>
      <x:c r="E63" s="32" t="str"/>
      <x:c r="F63" s="33" t="n">
        <x:v>1</x:v>
      </x:c>
      <x:c r="G63" s="34" t="n">
        <x:v>280</x:v>
      </x:c>
      <x:c r="H63" s="34" t="n">
        <x:f>F63*G63</x:f>
        <x:v>280</x:v>
      </x:c>
      <x:c r="I63" s="32" t="str">
        <x:v>Image 5 - SSD</x:v>
      </x:c>
      <x:c r="J63" s="32" t="str"/>
    </x:row>
    <x:row r="64">
      <x:c r="A64" s="32" t="str">
        <x:v>SSD</x:v>
      </x:c>
      <x:c r="B64" s="32" t="str">
        <x:v>SATA SSD</x:v>
      </x:c>
      <x:c r="C64" s="32" t="str">
        <x:v>2.5 inch</x:v>
      </x:c>
      <x:c r="D64" s="32" t="str">
        <x:v>4TB</x:v>
      </x:c>
      <x:c r="E64" s="32" t="str"/>
      <x:c r="F64" s="33" t="n">
        <x:v>1</x:v>
      </x:c>
      <x:c r="G64" s="34" t="n">
        <x:v>500</x:v>
      </x:c>
      <x:c r="H64" s="34" t="n">
        <x:f>F64*G64</x:f>
        <x:v>500</x:v>
      </x:c>
      <x:c r="I64" s="32" t="str">
        <x:v>Image 5 - SSD</x:v>
      </x:c>
      <x:c r="J64" s="32" t="str"/>
    </x:row>
    <x:row r="65">
      <x:c r="A65" s="32" t="str">
        <x:v>SSD</x:v>
      </x:c>
      <x:c r="B65" s="32" t="str">
        <x:v>SATA SSD</x:v>
      </x:c>
      <x:c r="C65" s="32" t="str">
        <x:v>2.5 inch</x:v>
      </x:c>
      <x:c r="D65" s="32" t="str">
        <x:v>400GB</x:v>
      </x:c>
      <x:c r="E65" s="32" t="str"/>
      <x:c r="F65" s="33" t="n">
        <x:v>2</x:v>
      </x:c>
      <x:c r="G65" s="34" t="n">
        <x:v>80</x:v>
      </x:c>
      <x:c r="H65" s="34" t="n">
        <x:f>F65*G65</x:f>
        <x:v>160</x:v>
      </x:c>
      <x:c r="I65" s="32" t="str">
        <x:v>Image 5 - SSD</x:v>
      </x:c>
      <x:c r="J65" s="32" t="str"/>
    </x:row>
    <x:row r="66">
      <x:c r="F66" s="28"/>
      <x:c r="G66" s="30"/>
      <x:c r="H66" s="30"/>
    </x:row>
    <x:row r="67">
      <x:c r="E67" s="25" t="str">
        <x:v>TOTAL STOCK</x:v>
      </x:c>
      <x:c r="F67" s="28" t="n">
        <x:f>SUM(F5:F65)</x:f>
        <x:v>4506</x:v>
      </x:c>
      <x:c r="G67" s="30" t="str"/>
      <x:c r="H67" s="30" t="n">
        <x:f>SUM(H5:H65)</x:f>
        <x:v>290342</x:v>
      </x:c>
    </x:row>
  </x:sheetData>
  <x:pageMargins left="0.7" right="0.7" top="0.75" bottom="0.75" header="0.3" footer="0.3"/>
  <x:tableParts count="1">
    <x:tablePart xmlns:r="http://schemas.openxmlformats.org/officeDocument/2006/relationships" r:id="R4d29f520c27049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2" hidden="0" customWidth="1"/>
    <x:col min="5" max="5" width="40" hidden="0" customWidth="1"/>
  </x:cols>
  <x:sheetData>
    <x:row r="1" ht="28" customHeight="1">
      <x:c r="A1" s="58" t="str">
        <x:v>Cash in Hand, Incoming Payments, Outgoing Payments</x:v>
      </x:c>
      <x:c r="B1" s="58"/>
      <x:c r="C1" s="58"/>
      <x:c r="D1" s="58"/>
      <x:c r="E1" s="58"/>
      <x:c r="F1" s="58"/>
      <x:c r="G1" s="58"/>
      <x:c r="H1" s="58"/>
    </x:row>
    <x:row r="2" ht="32" customHeight="1">
      <x:c r="A2" s="64" t="str">
        <x:v>Transcribed from the handwritten main page. Cash in hand is captured separately from incoming/outgoing payment lists.</x:v>
      </x:c>
      <x:c r="B2" s="64" t="str"/>
      <x:c r="C2" s="64" t="str"/>
      <x:c r="D2" s="64" t="str"/>
      <x:c r="E2" s="64" t="str"/>
      <x:c r="F2" s="64" t="str"/>
      <x:c r="G2" s="64" t="str"/>
      <x:c r="H2" s="64" t="str"/>
    </x:row>
    <x:row r="4">
      <x:c r="A4" s="41" t="str">
        <x:v>Cash in Hand</x:v>
      </x:c>
      <x:c r="B4" s="46" t="n">
        <x:v>25500</x:v>
      </x:c>
      <x:c r="G4" s="18" t="str">
        <x:v>Cash Summary</x:v>
      </x:c>
      <x:c r="H4" s="18" t="str">
        <x:v>Value</x:v>
      </x:c>
    </x:row>
    <x:row r="5">
      <x:c r="G5" s="48" t="str">
        <x:v>Cash in Hand</x:v>
      </x:c>
      <x:c r="H5" s="30" t="n">
        <x:f>B4</x:f>
        <x:v>25500</x:v>
      </x:c>
    </x:row>
    <x:row r="6">
      <x:c r="G6" s="48" t="str">
        <x:v>Total Incoming</x:v>
      </x:c>
      <x:c r="H6" s="30" t="n">
        <x:f>SUMIF(A8:A19,"Incoming",C8:C19)</x:f>
        <x:v>20762</x:v>
      </x:c>
    </x:row>
    <x:row r="7">
      <x:c r="A7" s="18" t="str">
        <x:v>Type</x:v>
      </x:c>
      <x:c r="B7" s="18" t="str">
        <x:v>Name / Reference</x:v>
      </x:c>
      <x:c r="C7" s="18" t="str">
        <x:v>Amount</x:v>
      </x:c>
      <x:c r="D7" s="18" t="str">
        <x:v>Source</x:v>
      </x:c>
      <x:c r="E7" s="18" t="str">
        <x:v>Notes</x:v>
      </x:c>
      <x:c r="G7" s="48" t="str">
        <x:v>Total Outgoing</x:v>
      </x:c>
      <x:c r="H7" s="30" t="n">
        <x:f>SUMIF(A8:A19,"Outgoing",C8:C19)</x:f>
        <x:v>33377</x:v>
      </x:c>
    </x:row>
    <x:row r="8">
      <x:c r="A8" s="32" t="str">
        <x:v>Incoming</x:v>
      </x:c>
      <x:c r="B8" s="32" t="str">
        <x:v>Anees</x:v>
      </x:c>
      <x:c r="C8" s="34" t="n">
        <x:v>5550</x:v>
      </x:c>
      <x:c r="D8" s="32" t="str">
        <x:v>Image 6 - Main Page</x:v>
      </x:c>
      <x:c r="E8" s="32" t="str">
        <x:v>Name/value transcribed from handwritten cash page.</x:v>
      </x:c>
      <x:c r="G8" s="48" t="str">
        <x:v>Net Cash Position</x:v>
      </x:c>
      <x:c r="H8" s="30" t="n">
        <x:f>H5+H6-H7</x:f>
        <x:v>12885</x:v>
      </x:c>
    </x:row>
    <x:row r="9">
      <x:c r="A9" s="32" t="str">
        <x:v>Incoming</x:v>
      </x:c>
      <x:c r="B9" s="32" t="str">
        <x:v>Ijaz Zaki</x:v>
      </x:c>
      <x:c r="C9" s="34" t="n">
        <x:v>2000</x:v>
      </x:c>
      <x:c r="D9" s="32" t="str">
        <x:v>Image 6 - Main Page</x:v>
      </x:c>
      <x:c r="E9" s="32" t="str"/>
    </x:row>
    <x:row r="10">
      <x:c r="A10" s="32" t="str">
        <x:v>Incoming</x:v>
      </x:c>
      <x:c r="B10" s="32" t="str">
        <x:v>Bilal Shams</x:v>
      </x:c>
      <x:c r="C10" s="34" t="n">
        <x:v>4505</x:v>
      </x:c>
      <x:c r="D10" s="32" t="str">
        <x:v>Image 6 - Main Page</x:v>
      </x:c>
      <x:c r="E10" s="32" t="str"/>
    </x:row>
    <x:row r="11">
      <x:c r="A11" s="32" t="str">
        <x:v>Incoming</x:v>
      </x:c>
      <x:c r="B11" s="32" t="str">
        <x:v>Anees Mamu</x:v>
      </x:c>
      <x:c r="C11" s="34" t="n">
        <x:v>3539</x:v>
      </x:c>
      <x:c r="D11" s="32" t="str">
        <x:v>Image 6 - Main Page</x:v>
      </x:c>
      <x:c r="E11" s="32" t="str"/>
    </x:row>
    <x:row r="12">
      <x:c r="A12" s="32" t="str">
        <x:v>Incoming</x:v>
      </x:c>
      <x:c r="B12" s="32" t="str">
        <x:v>Nabeel</x:v>
      </x:c>
      <x:c r="C12" s="34" t="n">
        <x:v>1665</x:v>
      </x:c>
      <x:c r="D12" s="32" t="str">
        <x:v>Image 6 - Main Page</x:v>
      </x:c>
      <x:c r="E12" s="32" t="str"/>
    </x:row>
    <x:row r="13">
      <x:c r="A13" s="32" t="str">
        <x:v>Incoming</x:v>
      </x:c>
      <x:c r="B13" s="32" t="str">
        <x:v>A7</x:v>
      </x:c>
      <x:c r="C13" s="34" t="n">
        <x:v>590</x:v>
      </x:c>
      <x:c r="D13" s="32" t="str">
        <x:v>Image 6 - Main Page</x:v>
      </x:c>
      <x:c r="E13" s="32" t="str"/>
    </x:row>
    <x:row r="14">
      <x:c r="A14" s="32" t="str">
        <x:v>Incoming</x:v>
      </x:c>
      <x:c r="B14" s="32" t="str">
        <x:v>C3</x:v>
      </x:c>
      <x:c r="C14" s="34" t="n">
        <x:v>530</x:v>
      </x:c>
      <x:c r="D14" s="32" t="str">
        <x:v>Image 6 - Main Page</x:v>
      </x:c>
      <x:c r="E14" s="32" t="str"/>
    </x:row>
    <x:row r="15">
      <x:c r="A15" s="32" t="str">
        <x:v>Incoming</x:v>
      </x:c>
      <x:c r="B15" s="32" t="str">
        <x:v>Sikandar</x:v>
      </x:c>
      <x:c r="C15" s="34" t="n">
        <x:v>2268</x:v>
      </x:c>
      <x:c r="D15" s="32" t="str">
        <x:v>Image 6 - Main Page</x:v>
      </x:c>
      <x:c r="E15" s="32" t="str"/>
    </x:row>
    <x:row r="16">
      <x:c r="A16" s="32" t="str">
        <x:v>Incoming</x:v>
      </x:c>
      <x:c r="B16" s="32" t="str">
        <x:v>H3</x:v>
      </x:c>
      <x:c r="C16" s="34" t="n">
        <x:v>115</x:v>
      </x:c>
      <x:c r="D16" s="32" t="str">
        <x:v>Image 6 - Main Page</x:v>
      </x:c>
      <x:c r="E16" s="32" t="str"/>
    </x:row>
    <x:row r="17">
      <x:c r="A17" s="32" t="str">
        <x:v>Outgoing</x:v>
      </x:c>
      <x:c r="B17" s="32" t="str">
        <x:v>Tahir</x:v>
      </x:c>
      <x:c r="C17" s="34" t="n">
        <x:v>32000</x:v>
      </x:c>
      <x:c r="D17" s="32" t="str">
        <x:v>Image 6 - Main Page</x:v>
      </x:c>
      <x:c r="E17" s="32" t="str"/>
    </x:row>
    <x:row r="18">
      <x:c r="A18" s="32" t="str">
        <x:v>Outgoing</x:v>
      </x:c>
      <x:c r="B18" s="32" t="str">
        <x:v>Ahmed RFJaz</x:v>
      </x:c>
      <x:c r="C18" s="34" t="n">
        <x:v>927</x:v>
      </x:c>
      <x:c r="D18" s="32" t="str">
        <x:v>Image 6 - Main Page</x:v>
      </x:c>
      <x:c r="E18" s="32" t="str">
        <x:v>Name unclear; amount transcribed as 927.</x:v>
      </x:c>
    </x:row>
    <x:row r="19">
      <x:c r="A19" s="32" t="str">
        <x:v>Outgoing</x:v>
      </x:c>
      <x:c r="B19" s="32" t="str">
        <x:v>DL - Muzammil</x:v>
      </x:c>
      <x:c r="C19" s="34" t="n">
        <x:v>450</x:v>
      </x:c>
      <x:c r="D19" s="32" t="str">
        <x:v>Image 6 - Main Page</x:v>
      </x:c>
      <x:c r="E19" s="32" t="str">
        <x:v>Name slightly unclear; amount transcribed as 450.</x:v>
      </x:c>
    </x:row>
  </x:sheetData>
  <x:pageMargins left="0.7" right="0.7" top="0.75" bottom="0.75" header="0.3" footer="0.3"/>
  <x:tableParts count="1">
    <x:tablePart xmlns:r="http://schemas.openxmlformats.org/officeDocument/2006/relationships" r:id="R4d4c317c8d5c49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4" hidden="0" customWidth="1"/>
    <x:col min="5" max="5" width="36" hidden="0" customWidth="1"/>
  </x:cols>
  <x:sheetData>
    <x:row r="1" ht="28" customHeight="1">
      <x:c r="A1" s="58" t="str">
        <x:v>Rows Requiring Manual Verification</x:v>
      </x:c>
      <x:c r="B1" s="58"/>
      <x:c r="C1" s="58"/>
      <x:c r="D1" s="58"/>
      <x:c r="E1" s="58"/>
    </x:row>
    <x:row r="3">
      <x:c r="A3" s="18" t="str">
        <x:v>Area</x:v>
      </x:c>
      <x:c r="B3" s="18" t="str">
        <x:v>Item</x:v>
      </x:c>
      <x:c r="C3" s="18" t="str">
        <x:v>Value Used</x:v>
      </x:c>
      <x:c r="D3" s="18" t="str">
        <x:v>Why Flagged</x:v>
      </x:c>
      <x:c r="E3" s="18" t="str">
        <x:v>Recommended Action</x:v>
      </x:c>
    </x:row>
    <x:row r="4">
      <x:c r="A4" s="32" t="str">
        <x:v>RAM Laptop</x:v>
      </x:c>
      <x:c r="B4" s="32" t="str">
        <x:v>4GB PC4</x:v>
      </x:c>
      <x:c r="C4" s="32" t="str">
        <x:v>18 × 40</x:v>
      </x:c>
      <x:c r="D4" s="32" t="str">
        <x:v>The unit rate was overwritten/crossed; final visible number appears to be 40.</x:v>
      </x:c>
      <x:c r="E4" s="32" t="str">
        <x:v>Verify unit rate if original paper is available.</x:v>
      </x:c>
    </x:row>
    <x:row r="5">
      <x:c r="A5" s="32" t="str">
        <x:v>Laptop HDD</x:v>
      </x:c>
      <x:c r="B5" s="32" t="str">
        <x:v>1TB Slim</x:v>
      </x:c>
      <x:c r="C5" s="32" t="str">
        <x:v>4 × 78</x:v>
      </x:c>
      <x:c r="D5" s="32" t="str">
        <x:v>Quantity before/around the 4 is scribbled; could be read differently.</x:v>
      </x:c>
      <x:c r="E5" s="32" t="str">
        <x:v>Confirm quantity from physical count.</x:v>
      </x:c>
    </x:row>
    <x:row r="6">
      <x:c r="A6" s="32" t="str">
        <x:v>Laptop HDD</x:v>
      </x:c>
      <x:c r="B6" s="32" t="str">
        <x:v>320GB</x:v>
      </x:c>
      <x:c r="C6" s="32" t="str">
        <x:v>371 × 5.5</x:v>
      </x:c>
      <x:c r="D6" s="32" t="str">
        <x:v>Unit rate appears as 5.5; handwriting has a mark near the multiplication sign.</x:v>
      </x:c>
      <x:c r="E6" s="32" t="str">
        <x:v>Verify rate if this seems too low.</x:v>
      </x:c>
    </x:row>
    <x:row r="7">
      <x:c r="A7" s="32" t="str">
        <x:v>Payments</x:v>
      </x:c>
      <x:c r="B7" s="32" t="str">
        <x:v>Ahmed RFJaz</x:v>
      </x:c>
      <x:c r="C7" s="32" t="str">
        <x:v>927</x:v>
      </x:c>
      <x:c r="D7" s="32" t="str">
        <x:v>Name is unclear in the handwriting.</x:v>
      </x:c>
      <x:c r="E7" s="32" t="str">
        <x:v>Correct the party name if needed.</x:v>
      </x:c>
    </x:row>
    <x:row r="8">
      <x:c r="A8" s="32" t="str">
        <x:v>Payments</x:v>
      </x:c>
      <x:c r="B8" s="32" t="str">
        <x:v>DL - Muzammil</x:v>
      </x:c>
      <x:c r="C8" s="32" t="str">
        <x:v>450</x:v>
      </x:c>
      <x:c r="D8" s="32" t="str">
        <x:v>Name is partially cut/unclear at bottom of image.</x:v>
      </x:c>
      <x:c r="E8" s="32" t="str">
        <x:v>Correct the party name if needed.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76" hidden="0" customWidth="1"/>
    <x:col min="4" max="4" width="34" hidden="0" customWidth="1"/>
  </x:cols>
  <x:sheetData>
    <x:row r="1" ht="28" customHeight="1">
      <x:c r="A1" s="58" t="str">
        <x:v>Source Images / Transcription Map</x:v>
      </x:c>
      <x:c r="B1" s="58"/>
      <x:c r="C1" s="58"/>
      <x:c r="D1" s="58"/>
    </x:row>
    <x:row r="3">
      <x:c r="A3" s="18" t="str">
        <x:v>Image</x:v>
      </x:c>
      <x:c r="B3" s="18" t="str">
        <x:v>Content Transcribed</x:v>
      </x:c>
      <x:c r="C3" s="18" t="str">
        <x:v>Sandbox Path</x:v>
      </x:c>
      <x:c r="D3" s="18" t="str">
        <x:v>Notes</x:v>
      </x:c>
    </x:row>
    <x:row r="4">
      <x:c r="A4" s="32" t="str">
        <x:v>Image 1</x:v>
      </x:c>
      <x:c r="B4" s="32" t="str">
        <x:v>RAM: desktop and laptop</x:v>
      </x:c>
      <x:c r="C4" s="32" t="str">
        <x:v>/mnt/data/e379f67b-046e-4c7b-afdc-bf7cd87915c8.png</x:v>
      </x:c>
      <x:c r="D4" s="32" t="str"/>
    </x:row>
    <x:row r="5">
      <x:c r="A5" s="32" t="str">
        <x:v>Image 2</x:v>
      </x:c>
      <x:c r="B5" s="32" t="str">
        <x:v>Desktop HDD</x:v>
      </x:c>
      <x:c r="C5" s="32" t="str">
        <x:v>/mnt/data/c7526407-0b94-41e8-af35-e996cba68aaf.png</x:v>
      </x:c>
      <x:c r="D5" s="32" t="str"/>
    </x:row>
    <x:row r="6">
      <x:c r="A6" s="32" t="str">
        <x:v>Image 3</x:v>
      </x:c>
      <x:c r="B6" s="32" t="str">
        <x:v>Laptop HDD and Extra Fat HDD</x:v>
      </x:c>
      <x:c r="C6" s="32" t="str">
        <x:v>/mnt/data/d6316cfe-647b-4a6f-bf17-bc5fd1843b73.png</x:v>
      </x:c>
      <x:c r="D6" s="32" t="str">
        <x:v>1TB slim quantity flagged.</x:v>
      </x:c>
    </x:row>
    <x:row r="7">
      <x:c r="A7" s="32" t="str">
        <x:v>Image 4</x:v>
      </x:c>
      <x:c r="B7" s="32" t="str">
        <x:v>M.2 SSD</x:v>
      </x:c>
      <x:c r="C7" s="32" t="str">
        <x:v>/mnt/data/cd7e77cb-23f1-419b-8bc6-43ec0bed04ae.png</x:v>
      </x:c>
      <x:c r="D7" s="32" t="str"/>
    </x:row>
    <x:row r="8">
      <x:c r="A8" s="32" t="str">
        <x:v>Image 5</x:v>
      </x:c>
      <x:c r="B8" s="32" t="str">
        <x:v>SATA SSD / M1 SSD</x:v>
      </x:c>
      <x:c r="C8" s="32" t="str">
        <x:v>/mnt/data/1e01f1c4-0c06-4c06-a001-4c8d1e31533a.png</x:v>
      </x:c>
      <x:c r="D8" s="32" t="str"/>
    </x:row>
    <x:row r="9">
      <x:c r="A9" s="32" t="str">
        <x:v>Image 6</x:v>
      </x:c>
      <x:c r="B9" s="32" t="str">
        <x:v>Cash in hand, incoming and outgoing payments</x:v>
      </x:c>
      <x:c r="C9" s="32" t="str">
        <x:v>/mnt/data/4ceb08b4-63b4-41c9-8e93-9d6d6fa1131e.png</x:v>
      </x:c>
      <x:c r="D9" s="32" t="str">
        <x:v>Some names partly unclear.</x:v>
      </x:c>
    </x:row>
  </x:sheetData>
  <x:pageMargins left="0.7" right="0.7" top="0.75" bottom="0.75" header="0.3" footer="0.3"/>
</x:worksheet>
</file>